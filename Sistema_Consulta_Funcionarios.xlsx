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emax\OneDrive\Desktop\Sistema_Consulta_Funcionarios_Excel\"/>
    </mc:Choice>
  </mc:AlternateContent>
  <bookViews>
    <workbookView xWindow="0" yWindow="0" windowWidth="23040" windowHeight="9072"/>
  </bookViews>
  <sheets>
    <sheet name="Funcionarios" sheetId="1" r:id="rId1"/>
    <sheet name="Consul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" i="2" l="1"/>
  <c r="B14" i="2"/>
  <c r="B13" i="2"/>
  <c r="B12" i="2"/>
  <c r="B10" i="2"/>
  <c r="B9" i="2"/>
  <c r="B8" i="2"/>
  <c r="B7" i="2"/>
  <c r="B6" i="2"/>
  <c r="B4" i="2"/>
  <c r="B5" i="2" l="1"/>
</calcChain>
</file>

<file path=xl/sharedStrings.xml><?xml version="1.0" encoding="utf-8"?>
<sst xmlns="http://schemas.openxmlformats.org/spreadsheetml/2006/main" count="421" uniqueCount="256">
  <si>
    <t>ID</t>
  </si>
  <si>
    <t>Nome</t>
  </si>
  <si>
    <t>Cargo</t>
  </si>
  <si>
    <t>Departamento</t>
  </si>
  <si>
    <t>Salário</t>
  </si>
  <si>
    <t>João Silva</t>
  </si>
  <si>
    <t>Analista</t>
  </si>
  <si>
    <t>TI</t>
  </si>
  <si>
    <t>Maria souza</t>
  </si>
  <si>
    <t xml:space="preserve">Assistente </t>
  </si>
  <si>
    <t>RH</t>
  </si>
  <si>
    <t>Pedro Lima</t>
  </si>
  <si>
    <t>Supervisor</t>
  </si>
  <si>
    <t>Operações</t>
  </si>
  <si>
    <t>Ana Costa</t>
  </si>
  <si>
    <t>Coordenadora</t>
  </si>
  <si>
    <t xml:space="preserve">Finaceiro </t>
  </si>
  <si>
    <t>Carlos Santos</t>
  </si>
  <si>
    <t>Desenvolvedor</t>
  </si>
  <si>
    <t>Digite o ID do funcionário para consultar seus dados</t>
  </si>
  <si>
    <t>Lucas Almeida</t>
  </si>
  <si>
    <t>Analista Jr</t>
  </si>
  <si>
    <t>Beatriz Ferreira</t>
  </si>
  <si>
    <t>Assistente Administrativo</t>
  </si>
  <si>
    <t>Rafael Oliveira</t>
  </si>
  <si>
    <t>Juliana Martins</t>
  </si>
  <si>
    <t>Financeiro</t>
  </si>
  <si>
    <t>Gustavo Rocha</t>
  </si>
  <si>
    <t>Camila Ribeiro</t>
  </si>
  <si>
    <t>Analista de RH</t>
  </si>
  <si>
    <t>André Carvalho</t>
  </si>
  <si>
    <t>Técnico de TI</t>
  </si>
  <si>
    <t>Patrícia Gomes</t>
  </si>
  <si>
    <t>Auxiliar Administrativo</t>
  </si>
  <si>
    <t>Administrativo</t>
  </si>
  <si>
    <t>Felipe Barbosa</t>
  </si>
  <si>
    <t>Gerente</t>
  </si>
  <si>
    <t>Mariana Lima</t>
  </si>
  <si>
    <t>Analista Financeiro</t>
  </si>
  <si>
    <t>Amanda Souza</t>
  </si>
  <si>
    <t>Bruno Mendes</t>
  </si>
  <si>
    <t>Assistente RH</t>
  </si>
  <si>
    <t>Camila Alves</t>
  </si>
  <si>
    <t>Daniel Pereira</t>
  </si>
  <si>
    <t>Eduarda Lima</t>
  </si>
  <si>
    <t>Fernando Costa</t>
  </si>
  <si>
    <t>Técnico TI</t>
  </si>
  <si>
    <t>Gabriela Rocha</t>
  </si>
  <si>
    <t>Analista RH</t>
  </si>
  <si>
    <t>Henrique Martins</t>
  </si>
  <si>
    <t>Isabela Nunes</t>
  </si>
  <si>
    <t>João Pedro Lima</t>
  </si>
  <si>
    <t>Karen Silva</t>
  </si>
  <si>
    <t>Lucas Fernandes</t>
  </si>
  <si>
    <t>Desenvolvedor Jr</t>
  </si>
  <si>
    <t>Mariana Ribeiro</t>
  </si>
  <si>
    <t>Analista TI</t>
  </si>
  <si>
    <t>Nicolas Souza</t>
  </si>
  <si>
    <t>Olivia Carvalho</t>
  </si>
  <si>
    <t>Pedro Henrique</t>
  </si>
  <si>
    <t>Quésia Lima</t>
  </si>
  <si>
    <t>Raphael Gomes</t>
  </si>
  <si>
    <t>Sabrina Costa</t>
  </si>
  <si>
    <t>Thiago Almeida</t>
  </si>
  <si>
    <t>Gerente TI</t>
  </si>
  <si>
    <t>Ursula Martins</t>
  </si>
  <si>
    <t>Analista Administrativo</t>
  </si>
  <si>
    <t>Vinicius Rocha</t>
  </si>
  <si>
    <t>Supervisor Financeiro</t>
  </si>
  <si>
    <t>Willian Santos</t>
  </si>
  <si>
    <t>Técnico Operações</t>
  </si>
  <si>
    <t>Ximena Pereira</t>
  </si>
  <si>
    <t>Coordenadora TI</t>
  </si>
  <si>
    <t>Yasmin Oliveira</t>
  </si>
  <si>
    <t>Zé Carlos Lima</t>
  </si>
  <si>
    <t>Alexandre Souza</t>
  </si>
  <si>
    <t>Desenvolvedor Pleno</t>
  </si>
  <si>
    <t>Bianca Ferreira</t>
  </si>
  <si>
    <t>Assistente Financeiro</t>
  </si>
  <si>
    <t>Caio Mendes</t>
  </si>
  <si>
    <t>Analista Operações</t>
  </si>
  <si>
    <t>Debora Alves</t>
  </si>
  <si>
    <t>Coordenadora RH</t>
  </si>
  <si>
    <t>Erick Lima</t>
  </si>
  <si>
    <t>Fernanda Rocha</t>
  </si>
  <si>
    <t>Gustavo Pereira</t>
  </si>
  <si>
    <t>Heloisa Costa</t>
  </si>
  <si>
    <t>Desenvolvedora</t>
  </si>
  <si>
    <t>Igor Nunes</t>
  </si>
  <si>
    <t>Gerente Financeiro</t>
  </si>
  <si>
    <t>Juliana Souza</t>
  </si>
  <si>
    <t>Kleber Martins</t>
  </si>
  <si>
    <t>Larissa Ribeiro</t>
  </si>
  <si>
    <t>Matheus Fernandes</t>
  </si>
  <si>
    <t>Natalia Lima</t>
  </si>
  <si>
    <t>Otavio Santos</t>
  </si>
  <si>
    <t>Supervisor TI</t>
  </si>
  <si>
    <t>Paula Almeida</t>
  </si>
  <si>
    <t>Quezia Rocha</t>
  </si>
  <si>
    <t>Renan Silva</t>
  </si>
  <si>
    <t>Samanta Pereira</t>
  </si>
  <si>
    <t>Tiago Costa</t>
  </si>
  <si>
    <t>Gerente Operações</t>
  </si>
  <si>
    <t>Ulisses Martins</t>
  </si>
  <si>
    <t>Viviane Souza</t>
  </si>
  <si>
    <t>Coordenadora Financeiro</t>
  </si>
  <si>
    <t>Wesley Lima</t>
  </si>
  <si>
    <t>Supervisor RH</t>
  </si>
  <si>
    <t>Xavier Almeida</t>
  </si>
  <si>
    <t>Yuri Rocha</t>
  </si>
  <si>
    <t>Zara Pereira</t>
  </si>
  <si>
    <t>Arthur Santos</t>
  </si>
  <si>
    <t>Beatriz Lima</t>
  </si>
  <si>
    <t>Carlos Mendes</t>
  </si>
  <si>
    <t>Supervisor Operações</t>
  </si>
  <si>
    <t>Daniela Costa</t>
  </si>
  <si>
    <t>Eduardo Rocha</t>
  </si>
  <si>
    <t>Técnico Financeiro</t>
  </si>
  <si>
    <t>Fabiana Alves</t>
  </si>
  <si>
    <t>Gabriel Pereira</t>
  </si>
  <si>
    <t>Hanna Souza</t>
  </si>
  <si>
    <t>Igor Lima</t>
  </si>
  <si>
    <t>Jessica Martins</t>
  </si>
  <si>
    <t>Kauã Santos</t>
  </si>
  <si>
    <t>Luana Almeida</t>
  </si>
  <si>
    <t>Técnica TI</t>
  </si>
  <si>
    <t>Marcelo Rocha</t>
  </si>
  <si>
    <t>Coordenador Operações</t>
  </si>
  <si>
    <t>Nicole Costa</t>
  </si>
  <si>
    <t>Osvaldo Pereira</t>
  </si>
  <si>
    <t>Patricia Lima</t>
  </si>
  <si>
    <t>Roberto Santos</t>
  </si>
  <si>
    <t>Sofia Martins</t>
  </si>
  <si>
    <t>Tiago Almeida</t>
  </si>
  <si>
    <t>Uma Rocha</t>
  </si>
  <si>
    <t>Victor Souza</t>
  </si>
  <si>
    <t>William Lima</t>
  </si>
  <si>
    <t>Xande Pereira</t>
  </si>
  <si>
    <t>Yara Costa</t>
  </si>
  <si>
    <t>Zenon Almeida</t>
  </si>
  <si>
    <t>Aline Rocha</t>
  </si>
  <si>
    <t>Bruno Lima</t>
  </si>
  <si>
    <t>Camila Pereira</t>
  </si>
  <si>
    <t>Daniel Souza</t>
  </si>
  <si>
    <t>Elaine Costa</t>
  </si>
  <si>
    <t>Felipe Rocha</t>
  </si>
  <si>
    <t>Gabriela Lima</t>
  </si>
  <si>
    <t>Hugo Almeida</t>
  </si>
  <si>
    <t>Data de Admissão</t>
  </si>
  <si>
    <t>E-MAILS</t>
  </si>
  <si>
    <t>user001@empresa.com</t>
  </si>
  <si>
    <t>user002@empresa.com</t>
  </si>
  <si>
    <t>user003@empresa.com</t>
  </si>
  <si>
    <t>user004@empresa.com</t>
  </si>
  <si>
    <t>user005@empresa.com</t>
  </si>
  <si>
    <t>user006@empresa.com</t>
  </si>
  <si>
    <t>user007@empresa.com</t>
  </si>
  <si>
    <t>user008@empresa.com</t>
  </si>
  <si>
    <t>user009@empresa.com</t>
  </si>
  <si>
    <t>user010@empresa.com</t>
  </si>
  <si>
    <t>user011@empresa.com</t>
  </si>
  <si>
    <t>user012@empresa.com</t>
  </si>
  <si>
    <t>user013@empresa.com</t>
  </si>
  <si>
    <t>user014@empresa.com</t>
  </si>
  <si>
    <t>user015@empresa.com</t>
  </si>
  <si>
    <t>user016@empresa.com</t>
  </si>
  <si>
    <t>user017@empresa.com</t>
  </si>
  <si>
    <t>user018@empresa.com</t>
  </si>
  <si>
    <t>user019@empresa.com</t>
  </si>
  <si>
    <t>user020@empresa.com</t>
  </si>
  <si>
    <t>user021@empresa.com</t>
  </si>
  <si>
    <t>user022@empresa.com</t>
  </si>
  <si>
    <t>user023@empresa.com</t>
  </si>
  <si>
    <t>user024@empresa.com</t>
  </si>
  <si>
    <t>user025@empresa.com</t>
  </si>
  <si>
    <t>user026@empresa.com</t>
  </si>
  <si>
    <t>user027@empresa.com</t>
  </si>
  <si>
    <t>user028@empresa.com</t>
  </si>
  <si>
    <t>user029@empresa.com</t>
  </si>
  <si>
    <t>user030@empresa.com</t>
  </si>
  <si>
    <t>user031@empresa.com</t>
  </si>
  <si>
    <t>user032@empresa.com</t>
  </si>
  <si>
    <t>user033@empresa.com</t>
  </si>
  <si>
    <t>user034@empresa.com</t>
  </si>
  <si>
    <t>user035@empresa.com</t>
  </si>
  <si>
    <t>user036@empresa.com</t>
  </si>
  <si>
    <t>user037@empresa.com</t>
  </si>
  <si>
    <t>user038@empresa.com</t>
  </si>
  <si>
    <t>user039@empresa.com</t>
  </si>
  <si>
    <t>user040@empresa.com</t>
  </si>
  <si>
    <t>user041@empresa.com</t>
  </si>
  <si>
    <t>user042@empresa.com</t>
  </si>
  <si>
    <t>user043@empresa.com</t>
  </si>
  <si>
    <t>user044@empresa.com</t>
  </si>
  <si>
    <t>user045@empresa.com</t>
  </si>
  <si>
    <t>user046@empresa.com</t>
  </si>
  <si>
    <t>user047@empresa.com</t>
  </si>
  <si>
    <t>user048@empresa.com</t>
  </si>
  <si>
    <t>user049@empresa.com</t>
  </si>
  <si>
    <t>user050@empresa.com</t>
  </si>
  <si>
    <t>user051@empresa.com</t>
  </si>
  <si>
    <t>user052@empresa.com</t>
  </si>
  <si>
    <t>user053@empresa.com</t>
  </si>
  <si>
    <t>user054@empresa.com</t>
  </si>
  <si>
    <t>user055@empresa.com</t>
  </si>
  <si>
    <t>user056@empresa.com</t>
  </si>
  <si>
    <t>user057@empresa.com</t>
  </si>
  <si>
    <t>user058@empresa.com</t>
  </si>
  <si>
    <t>user059@empresa.com</t>
  </si>
  <si>
    <t>user060@empresa.com</t>
  </si>
  <si>
    <t>user061@empresa.com</t>
  </si>
  <si>
    <t>user062@empresa.com</t>
  </si>
  <si>
    <t>user063@empresa.com</t>
  </si>
  <si>
    <t>user064@empresa.com</t>
  </si>
  <si>
    <t>user065@empresa.com</t>
  </si>
  <si>
    <t>user066@empresa.com</t>
  </si>
  <si>
    <t>user067@empresa.com</t>
  </si>
  <si>
    <t>user068@empresa.com</t>
  </si>
  <si>
    <t>user069@empresa.com</t>
  </si>
  <si>
    <t>user070@empresa.com</t>
  </si>
  <si>
    <t>user071@empresa.com</t>
  </si>
  <si>
    <t>user072@empresa.com</t>
  </si>
  <si>
    <t>user073@empresa.com</t>
  </si>
  <si>
    <t>user074@empresa.com</t>
  </si>
  <si>
    <t>user075@empresa.com</t>
  </si>
  <si>
    <t>user076@empresa.com</t>
  </si>
  <si>
    <t>user077@empresa.com</t>
  </si>
  <si>
    <t>user078@empresa.com</t>
  </si>
  <si>
    <t>user079@empresa.com</t>
  </si>
  <si>
    <t>user080@empresa.com</t>
  </si>
  <si>
    <t>user081@empresa.com</t>
  </si>
  <si>
    <t>user082@empresa.com</t>
  </si>
  <si>
    <t>user083@empresa.com</t>
  </si>
  <si>
    <t>user084@empresa.com</t>
  </si>
  <si>
    <t>user085@empresa.com</t>
  </si>
  <si>
    <t>user086@empresa.com</t>
  </si>
  <si>
    <t>user087@empresa.com</t>
  </si>
  <si>
    <t>user088@empresa.com</t>
  </si>
  <si>
    <t>user089@empresa.com</t>
  </si>
  <si>
    <t>user090@empresa.com</t>
  </si>
  <si>
    <t>user091@empresa.com</t>
  </si>
  <si>
    <t>user092@empresa.com</t>
  </si>
  <si>
    <t>user093@empresa.com</t>
  </si>
  <si>
    <t>user094@empresa.com</t>
  </si>
  <si>
    <t>user095@empresa.com</t>
  </si>
  <si>
    <t>user096@empresa.com</t>
  </si>
  <si>
    <t>user097@empresa.com</t>
  </si>
  <si>
    <t>user098@empresa.com</t>
  </si>
  <si>
    <t>user099@empresa.com</t>
  </si>
  <si>
    <t>user100@empresa.com</t>
  </si>
  <si>
    <t>CELULARES</t>
  </si>
  <si>
    <t>Total de Funcionários:</t>
  </si>
  <si>
    <t>Maior Salário:</t>
  </si>
  <si>
    <t>Menor Salário:</t>
  </si>
  <si>
    <t>Média Salarial:</t>
  </si>
  <si>
    <t>SISTEMA DE CONSULTA DE FUNCIONÁRIOS -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</si>
</sst>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[$R$-416]\ * #,##0.00_-;\-[$R$-416]\ * #,##0.00_-;_-[$R$-416]\ * &quot;-&quot;??_-;_-@_-"/>
  </numFmts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2"/>
      <color rgb="FFFF0000"/>
      <name val="Calibri"/>
      <family val="2"/>
      <scheme val="minor"/>
    </font>
    <font>
      <b/>
      <u/>
      <sz val="14"/>
      <name val="Calibri"/>
      <family val="2"/>
      <scheme val="minor"/>
    </font>
    <font>
      <sz val="14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/>
    <xf numFmtId="164" fontId="1" fillId="0" borderId="0" xfId="0" applyNumberFormat="1" applyFont="1"/>
    <xf numFmtId="164" fontId="6" fillId="2" borderId="1" xfId="0" applyNumberFormat="1" applyFont="1" applyFill="1" applyBorder="1"/>
    <xf numFmtId="164" fontId="6" fillId="2" borderId="1" xfId="0" applyNumberFormat="1" applyFont="1" applyFill="1" applyBorder="1" applyAlignment="1"/>
    <xf numFmtId="14" fontId="0" fillId="2" borderId="1" xfId="0" applyNumberForma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164" fontId="5" fillId="3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0" borderId="0" xfId="0" applyFont="1"/>
    <xf numFmtId="0" fontId="7" fillId="3" borderId="0" xfId="0" applyFont="1" applyFill="1" applyAlignment="1">
      <alignment horizontal="center"/>
    </xf>
    <xf numFmtId="0" fontId="2" fillId="2" borderId="1" xfId="0" applyFont="1" applyFill="1" applyBorder="1" applyAlignment="1" applyProtection="1">
      <alignment horizontal="center"/>
      <protection hidden="1"/>
    </xf>
    <xf numFmtId="0" fontId="4" fillId="2" borderId="1" xfId="0" applyFont="1" applyFill="1" applyBorder="1" applyAlignment="1" applyProtection="1">
      <alignment horizontal="center"/>
      <protection hidden="1"/>
    </xf>
    <xf numFmtId="0" fontId="1" fillId="2" borderId="1" xfId="0" applyFont="1" applyFill="1" applyBorder="1" applyAlignment="1" applyProtection="1">
      <alignment horizontal="center"/>
      <protection locked="0" hidden="1"/>
    </xf>
    <xf numFmtId="0" fontId="0" fillId="2" borderId="1" xfId="0" applyFill="1" applyBorder="1" applyAlignment="1" applyProtection="1">
      <alignment horizontal="center"/>
      <protection hidden="1"/>
    </xf>
    <xf numFmtId="1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4" fontId="8" fillId="2" borderId="1" xfId="0" applyNumberFormat="1" applyFont="1" applyFill="1" applyBorder="1" applyAlignment="1" applyProtection="1">
      <alignment horizontal="center"/>
      <protection hidden="1"/>
    </xf>
    <xf numFmtId="0" fontId="8" fillId="2" borderId="1" xfId="0" applyFont="1" applyFill="1" applyBorder="1" applyAlignment="1" applyProtection="1">
      <alignment horizontal="center"/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tabSelected="1" topLeftCell="A73" workbookViewId="0">
      <selection activeCell="F1" sqref="F1"/>
    </sheetView>
  </sheetViews>
  <sheetFormatPr defaultRowHeight="14.4" x14ac:dyDescent="0.3"/>
  <cols>
    <col min="2" max="2" width="13.5546875" bestFit="1" customWidth="1"/>
    <col min="3" max="3" width="21.109375" style="1" customWidth="1"/>
    <col min="4" max="4" width="16.77734375" style="1" customWidth="1"/>
    <col min="5" max="5" width="13.109375" style="5" bestFit="1" customWidth="1"/>
    <col min="6" max="6" width="20.5546875" style="1" customWidth="1"/>
    <col min="7" max="7" width="20.5546875" style="1" bestFit="1" customWidth="1"/>
    <col min="8" max="8" width="15.109375" style="1" customWidth="1"/>
  </cols>
  <sheetData>
    <row r="1" spans="1:8" ht="18" x14ac:dyDescent="0.35">
      <c r="A1" s="9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11" t="s">
        <v>148</v>
      </c>
      <c r="G1" s="9" t="s">
        <v>149</v>
      </c>
      <c r="H1" s="13" t="s">
        <v>250</v>
      </c>
    </row>
    <row r="2" spans="1:8" ht="15.6" x14ac:dyDescent="0.3">
      <c r="A2" s="4">
        <v>1</v>
      </c>
      <c r="B2" s="4" t="s">
        <v>5</v>
      </c>
      <c r="C2" s="3" t="s">
        <v>6</v>
      </c>
      <c r="D2" s="3" t="s">
        <v>7</v>
      </c>
      <c r="E2" s="7">
        <v>3500</v>
      </c>
      <c r="F2" s="8">
        <v>45016</v>
      </c>
      <c r="G2" s="3" t="s">
        <v>229</v>
      </c>
      <c r="H2" s="3">
        <v>11990010080</v>
      </c>
    </row>
    <row r="3" spans="1:8" ht="15.6" x14ac:dyDescent="0.3">
      <c r="A3" s="4">
        <v>2</v>
      </c>
      <c r="B3" s="4" t="s">
        <v>8</v>
      </c>
      <c r="C3" s="3" t="s">
        <v>9</v>
      </c>
      <c r="D3" s="3" t="s">
        <v>10</v>
      </c>
      <c r="E3" s="7">
        <v>2800</v>
      </c>
      <c r="F3" s="8">
        <v>44626</v>
      </c>
      <c r="G3" s="3" t="s">
        <v>203</v>
      </c>
      <c r="H3" s="3">
        <v>11990010054</v>
      </c>
    </row>
    <row r="4" spans="1:8" ht="15.6" x14ac:dyDescent="0.3">
      <c r="A4" s="4">
        <v>3</v>
      </c>
      <c r="B4" s="4" t="s">
        <v>11</v>
      </c>
      <c r="C4" s="3" t="s">
        <v>12</v>
      </c>
      <c r="D4" s="3" t="s">
        <v>13</v>
      </c>
      <c r="E4" s="7">
        <v>5000</v>
      </c>
      <c r="F4" s="8">
        <v>44371</v>
      </c>
      <c r="G4" s="3" t="s">
        <v>186</v>
      </c>
      <c r="H4" s="3">
        <v>11990010037</v>
      </c>
    </row>
    <row r="5" spans="1:8" ht="15.6" x14ac:dyDescent="0.3">
      <c r="A5" s="4">
        <v>4</v>
      </c>
      <c r="B5" s="4" t="s">
        <v>14</v>
      </c>
      <c r="C5" s="3" t="s">
        <v>15</v>
      </c>
      <c r="D5" s="3" t="s">
        <v>16</v>
      </c>
      <c r="E5" s="7">
        <v>6500</v>
      </c>
      <c r="F5" s="8">
        <v>43981</v>
      </c>
      <c r="G5" s="3" t="s">
        <v>160</v>
      </c>
      <c r="H5" s="3">
        <v>11990010011</v>
      </c>
    </row>
    <row r="6" spans="1:8" ht="15.6" x14ac:dyDescent="0.3">
      <c r="A6" s="4">
        <v>5</v>
      </c>
      <c r="B6" s="4" t="s">
        <v>17</v>
      </c>
      <c r="C6" s="3" t="s">
        <v>18</v>
      </c>
      <c r="D6" s="3" t="s">
        <v>7</v>
      </c>
      <c r="E6" s="7">
        <v>4500</v>
      </c>
      <c r="F6" s="8">
        <v>44866</v>
      </c>
      <c r="G6" s="3" t="s">
        <v>219</v>
      </c>
      <c r="H6" s="3">
        <v>11990010070</v>
      </c>
    </row>
    <row r="7" spans="1:8" ht="15.6" x14ac:dyDescent="0.3">
      <c r="A7" s="4">
        <v>6</v>
      </c>
      <c r="B7" s="4" t="s">
        <v>20</v>
      </c>
      <c r="C7" s="3" t="s">
        <v>21</v>
      </c>
      <c r="D7" s="3" t="s">
        <v>7</v>
      </c>
      <c r="E7" s="7">
        <v>3200</v>
      </c>
      <c r="F7" s="8">
        <v>45046</v>
      </c>
      <c r="G7" s="3" t="s">
        <v>231</v>
      </c>
      <c r="H7" s="3">
        <v>11990010082</v>
      </c>
    </row>
    <row r="8" spans="1:8" ht="15.6" x14ac:dyDescent="0.3">
      <c r="A8" s="4">
        <v>7</v>
      </c>
      <c r="B8" s="4" t="s">
        <v>22</v>
      </c>
      <c r="C8" s="3" t="s">
        <v>23</v>
      </c>
      <c r="D8" s="3" t="s">
        <v>10</v>
      </c>
      <c r="E8" s="7">
        <v>2900</v>
      </c>
      <c r="F8" s="8">
        <v>44446</v>
      </c>
      <c r="G8" s="3" t="s">
        <v>191</v>
      </c>
      <c r="H8" s="3">
        <v>11990010042</v>
      </c>
    </row>
    <row r="9" spans="1:8" ht="15.6" x14ac:dyDescent="0.3">
      <c r="A9" s="4">
        <v>8</v>
      </c>
      <c r="B9" s="4" t="s">
        <v>24</v>
      </c>
      <c r="C9" s="3" t="s">
        <v>18</v>
      </c>
      <c r="D9" s="3" t="s">
        <v>7</v>
      </c>
      <c r="E9" s="7">
        <v>4800</v>
      </c>
      <c r="F9" s="8">
        <v>45166</v>
      </c>
      <c r="G9" s="3" t="s">
        <v>239</v>
      </c>
      <c r="H9" s="3">
        <v>11990010090</v>
      </c>
    </row>
    <row r="10" spans="1:8" ht="15.6" x14ac:dyDescent="0.3">
      <c r="A10" s="4">
        <v>9</v>
      </c>
      <c r="B10" s="4" t="s">
        <v>25</v>
      </c>
      <c r="C10" s="3" t="s">
        <v>15</v>
      </c>
      <c r="D10" s="3" t="s">
        <v>26</v>
      </c>
      <c r="E10" s="7">
        <v>6700</v>
      </c>
      <c r="F10" s="8">
        <v>44116</v>
      </c>
      <c r="G10" s="3" t="s">
        <v>169</v>
      </c>
      <c r="H10" s="3">
        <v>11990010020</v>
      </c>
    </row>
    <row r="11" spans="1:8" ht="15.6" x14ac:dyDescent="0.3">
      <c r="A11" s="4">
        <v>10</v>
      </c>
      <c r="B11" s="4" t="s">
        <v>27</v>
      </c>
      <c r="C11" s="3" t="s">
        <v>12</v>
      </c>
      <c r="D11" s="3" t="s">
        <v>13</v>
      </c>
      <c r="E11" s="7">
        <v>5200</v>
      </c>
      <c r="F11" s="8">
        <v>44296</v>
      </c>
      <c r="G11" s="3" t="s">
        <v>181</v>
      </c>
      <c r="H11" s="3">
        <v>11990010032</v>
      </c>
    </row>
    <row r="12" spans="1:8" ht="15.6" x14ac:dyDescent="0.3">
      <c r="A12" s="4">
        <v>11</v>
      </c>
      <c r="B12" s="4" t="s">
        <v>28</v>
      </c>
      <c r="C12" s="3" t="s">
        <v>29</v>
      </c>
      <c r="D12" s="3" t="s">
        <v>10</v>
      </c>
      <c r="E12" s="7">
        <v>3600</v>
      </c>
      <c r="F12" s="8">
        <v>44506</v>
      </c>
      <c r="G12" s="3" t="s">
        <v>195</v>
      </c>
      <c r="H12" s="3">
        <v>11990010046</v>
      </c>
    </row>
    <row r="13" spans="1:8" ht="15.6" x14ac:dyDescent="0.3">
      <c r="A13" s="4">
        <v>12</v>
      </c>
      <c r="B13" s="4" t="s">
        <v>30</v>
      </c>
      <c r="C13" s="3" t="s">
        <v>31</v>
      </c>
      <c r="D13" s="3" t="s">
        <v>7</v>
      </c>
      <c r="E13" s="7">
        <v>3900</v>
      </c>
      <c r="F13" s="8">
        <v>44806</v>
      </c>
      <c r="G13" s="3" t="s">
        <v>215</v>
      </c>
      <c r="H13" s="3">
        <v>11990010066</v>
      </c>
    </row>
    <row r="14" spans="1:8" ht="15.6" x14ac:dyDescent="0.3">
      <c r="A14" s="4">
        <v>13</v>
      </c>
      <c r="B14" s="4" t="s">
        <v>32</v>
      </c>
      <c r="C14" s="3" t="s">
        <v>33</v>
      </c>
      <c r="D14" s="3" t="s">
        <v>34</v>
      </c>
      <c r="E14" s="7">
        <v>2600</v>
      </c>
      <c r="F14" s="8">
        <v>43891</v>
      </c>
      <c r="G14" s="3" t="s">
        <v>154</v>
      </c>
      <c r="H14" s="3">
        <v>11990010005</v>
      </c>
    </row>
    <row r="15" spans="1:8" ht="15.6" x14ac:dyDescent="0.3">
      <c r="A15" s="4">
        <v>14</v>
      </c>
      <c r="B15" s="4" t="s">
        <v>35</v>
      </c>
      <c r="C15" s="3" t="s">
        <v>36</v>
      </c>
      <c r="D15" s="3" t="s">
        <v>13</v>
      </c>
      <c r="E15" s="7">
        <v>8000</v>
      </c>
      <c r="F15" s="8">
        <v>44266</v>
      </c>
      <c r="G15" s="3" t="s">
        <v>179</v>
      </c>
      <c r="H15" s="3">
        <v>11990010030</v>
      </c>
    </row>
    <row r="16" spans="1:8" ht="15.6" x14ac:dyDescent="0.3">
      <c r="A16" s="4">
        <v>15</v>
      </c>
      <c r="B16" s="4" t="s">
        <v>37</v>
      </c>
      <c r="C16" s="3" t="s">
        <v>38</v>
      </c>
      <c r="D16" s="3" t="s">
        <v>26</v>
      </c>
      <c r="E16" s="7">
        <v>4300</v>
      </c>
      <c r="F16" s="8">
        <v>44131</v>
      </c>
      <c r="G16" s="3" t="s">
        <v>170</v>
      </c>
      <c r="H16" s="3">
        <v>11990010021</v>
      </c>
    </row>
    <row r="17" spans="1:8" ht="15.6" x14ac:dyDescent="0.3">
      <c r="A17" s="2">
        <v>16</v>
      </c>
      <c r="B17" s="2" t="s">
        <v>39</v>
      </c>
      <c r="C17" s="3" t="s">
        <v>21</v>
      </c>
      <c r="D17" s="3" t="s">
        <v>7</v>
      </c>
      <c r="E17" s="6">
        <v>3300</v>
      </c>
      <c r="F17" s="8">
        <v>44791</v>
      </c>
      <c r="G17" s="3" t="s">
        <v>214</v>
      </c>
      <c r="H17" s="3">
        <v>11990010065</v>
      </c>
    </row>
    <row r="18" spans="1:8" ht="15.6" x14ac:dyDescent="0.3">
      <c r="A18" s="2">
        <v>17</v>
      </c>
      <c r="B18" s="2" t="s">
        <v>40</v>
      </c>
      <c r="C18" s="3" t="s">
        <v>41</v>
      </c>
      <c r="D18" s="3" t="s">
        <v>10</v>
      </c>
      <c r="E18" s="6">
        <v>2800</v>
      </c>
      <c r="F18" s="8">
        <v>44476</v>
      </c>
      <c r="G18" s="3" t="s">
        <v>193</v>
      </c>
      <c r="H18" s="3">
        <v>11990010044</v>
      </c>
    </row>
    <row r="19" spans="1:8" ht="15.6" x14ac:dyDescent="0.3">
      <c r="A19" s="2">
        <v>18</v>
      </c>
      <c r="B19" s="2" t="s">
        <v>42</v>
      </c>
      <c r="C19" s="3" t="s">
        <v>18</v>
      </c>
      <c r="D19" s="3" t="s">
        <v>7</v>
      </c>
      <c r="E19" s="6">
        <v>4900</v>
      </c>
      <c r="F19" s="8">
        <v>44851</v>
      </c>
      <c r="G19" s="3" t="s">
        <v>218</v>
      </c>
      <c r="H19" s="3">
        <v>11990010069</v>
      </c>
    </row>
    <row r="20" spans="1:8" ht="15.6" x14ac:dyDescent="0.3">
      <c r="A20" s="2">
        <v>19</v>
      </c>
      <c r="B20" s="2" t="s">
        <v>43</v>
      </c>
      <c r="C20" s="3" t="s">
        <v>12</v>
      </c>
      <c r="D20" s="3" t="s">
        <v>13</v>
      </c>
      <c r="E20" s="6">
        <v>5300</v>
      </c>
      <c r="F20" s="8">
        <v>44251</v>
      </c>
      <c r="G20" s="3" t="s">
        <v>178</v>
      </c>
      <c r="H20" s="3">
        <v>11990010029</v>
      </c>
    </row>
    <row r="21" spans="1:8" ht="15.6" x14ac:dyDescent="0.3">
      <c r="A21" s="2">
        <v>20</v>
      </c>
      <c r="B21" s="2" t="s">
        <v>44</v>
      </c>
      <c r="C21" s="3" t="s">
        <v>15</v>
      </c>
      <c r="D21" s="3" t="s">
        <v>26</v>
      </c>
      <c r="E21" s="6">
        <v>6800</v>
      </c>
      <c r="F21" s="8">
        <v>44026</v>
      </c>
      <c r="G21" s="3" t="s">
        <v>163</v>
      </c>
      <c r="H21" s="3">
        <v>11990010014</v>
      </c>
    </row>
    <row r="22" spans="1:8" ht="15.6" x14ac:dyDescent="0.3">
      <c r="A22" s="2">
        <v>21</v>
      </c>
      <c r="B22" s="2" t="s">
        <v>45</v>
      </c>
      <c r="C22" s="3" t="s">
        <v>46</v>
      </c>
      <c r="D22" s="3" t="s">
        <v>7</v>
      </c>
      <c r="E22" s="6">
        <v>3700</v>
      </c>
      <c r="F22" s="8">
        <v>44941</v>
      </c>
      <c r="G22" s="3" t="s">
        <v>224</v>
      </c>
      <c r="H22" s="3">
        <v>11990010075</v>
      </c>
    </row>
    <row r="23" spans="1:8" ht="15.6" x14ac:dyDescent="0.3">
      <c r="A23" s="2">
        <v>22</v>
      </c>
      <c r="B23" s="2" t="s">
        <v>47</v>
      </c>
      <c r="C23" s="3" t="s">
        <v>48</v>
      </c>
      <c r="D23" s="3" t="s">
        <v>10</v>
      </c>
      <c r="E23" s="6">
        <v>3400</v>
      </c>
      <c r="F23" s="8">
        <v>44566</v>
      </c>
      <c r="G23" s="3" t="s">
        <v>199</v>
      </c>
      <c r="H23" s="3">
        <v>11990010050</v>
      </c>
    </row>
    <row r="24" spans="1:8" ht="15.6" x14ac:dyDescent="0.3">
      <c r="A24" s="2">
        <v>23</v>
      </c>
      <c r="B24" s="2" t="s">
        <v>49</v>
      </c>
      <c r="C24" s="3" t="s">
        <v>33</v>
      </c>
      <c r="D24" s="3" t="s">
        <v>34</v>
      </c>
      <c r="E24" s="6">
        <v>2500</v>
      </c>
      <c r="F24" s="8">
        <v>43861</v>
      </c>
      <c r="G24" s="3" t="s">
        <v>152</v>
      </c>
      <c r="H24" s="3">
        <v>11990010003</v>
      </c>
    </row>
    <row r="25" spans="1:8" ht="15.6" x14ac:dyDescent="0.3">
      <c r="A25" s="2">
        <v>24</v>
      </c>
      <c r="B25" s="2" t="s">
        <v>50</v>
      </c>
      <c r="C25" s="3" t="s">
        <v>36</v>
      </c>
      <c r="D25" s="3" t="s">
        <v>13</v>
      </c>
      <c r="E25" s="6">
        <v>8200</v>
      </c>
      <c r="F25" s="8">
        <v>44311</v>
      </c>
      <c r="G25" s="3" t="s">
        <v>182</v>
      </c>
      <c r="H25" s="3">
        <v>11990010033</v>
      </c>
    </row>
    <row r="26" spans="1:8" ht="15.6" x14ac:dyDescent="0.3">
      <c r="A26" s="2">
        <v>25</v>
      </c>
      <c r="B26" s="2" t="s">
        <v>51</v>
      </c>
      <c r="C26" s="3" t="s">
        <v>38</v>
      </c>
      <c r="D26" s="3" t="s">
        <v>26</v>
      </c>
      <c r="E26" s="6">
        <v>4200</v>
      </c>
      <c r="F26" s="8">
        <v>44101</v>
      </c>
      <c r="G26" s="3" t="s">
        <v>168</v>
      </c>
      <c r="H26" s="3">
        <v>11990010019</v>
      </c>
    </row>
    <row r="27" spans="1:8" ht="15.6" x14ac:dyDescent="0.3">
      <c r="A27" s="2">
        <v>26</v>
      </c>
      <c r="B27" s="2" t="s">
        <v>52</v>
      </c>
      <c r="C27" s="3" t="s">
        <v>23</v>
      </c>
      <c r="D27" s="3" t="s">
        <v>10</v>
      </c>
      <c r="E27" s="6">
        <v>2700</v>
      </c>
      <c r="F27" s="8">
        <v>44596</v>
      </c>
      <c r="G27" s="3" t="s">
        <v>201</v>
      </c>
      <c r="H27" s="3">
        <v>11990010052</v>
      </c>
    </row>
    <row r="28" spans="1:8" ht="15.6" x14ac:dyDescent="0.3">
      <c r="A28" s="2">
        <v>27</v>
      </c>
      <c r="B28" s="2" t="s">
        <v>53</v>
      </c>
      <c r="C28" s="3" t="s">
        <v>54</v>
      </c>
      <c r="D28" s="3" t="s">
        <v>7</v>
      </c>
      <c r="E28" s="6">
        <v>4100</v>
      </c>
      <c r="F28" s="8">
        <v>45061</v>
      </c>
      <c r="G28" s="3" t="s">
        <v>232</v>
      </c>
      <c r="H28" s="3">
        <v>11990010083</v>
      </c>
    </row>
    <row r="29" spans="1:8" ht="15.6" x14ac:dyDescent="0.3">
      <c r="A29" s="2">
        <v>28</v>
      </c>
      <c r="B29" s="2" t="s">
        <v>55</v>
      </c>
      <c r="C29" s="3" t="s">
        <v>56</v>
      </c>
      <c r="D29" s="3" t="s">
        <v>7</v>
      </c>
      <c r="E29" s="6">
        <v>4500</v>
      </c>
      <c r="F29" s="8">
        <v>45076</v>
      </c>
      <c r="G29" s="3" t="s">
        <v>233</v>
      </c>
      <c r="H29" s="3">
        <v>11990010084</v>
      </c>
    </row>
    <row r="30" spans="1:8" ht="15.6" x14ac:dyDescent="0.3">
      <c r="A30" s="2">
        <v>29</v>
      </c>
      <c r="B30" s="2" t="s">
        <v>57</v>
      </c>
      <c r="C30" s="3" t="s">
        <v>12</v>
      </c>
      <c r="D30" s="3" t="s">
        <v>13</v>
      </c>
      <c r="E30" s="6">
        <v>5100</v>
      </c>
      <c r="F30" s="8">
        <v>44356</v>
      </c>
      <c r="G30" s="3" t="s">
        <v>185</v>
      </c>
      <c r="H30" s="3">
        <v>11990010036</v>
      </c>
    </row>
    <row r="31" spans="1:8" ht="15.6" x14ac:dyDescent="0.3">
      <c r="A31" s="2">
        <v>30</v>
      </c>
      <c r="B31" s="2" t="s">
        <v>58</v>
      </c>
      <c r="C31" s="3" t="s">
        <v>15</v>
      </c>
      <c r="D31" s="3" t="s">
        <v>10</v>
      </c>
      <c r="E31" s="6">
        <v>6500</v>
      </c>
      <c r="F31" s="8">
        <v>44671</v>
      </c>
      <c r="G31" s="3" t="s">
        <v>206</v>
      </c>
      <c r="H31" s="3">
        <v>11990010057</v>
      </c>
    </row>
    <row r="32" spans="1:8" ht="15.6" x14ac:dyDescent="0.3">
      <c r="A32" s="2">
        <v>31</v>
      </c>
      <c r="B32" s="2" t="s">
        <v>59</v>
      </c>
      <c r="C32" s="3" t="s">
        <v>46</v>
      </c>
      <c r="D32" s="3" t="s">
        <v>7</v>
      </c>
      <c r="E32" s="6">
        <v>3600</v>
      </c>
      <c r="F32" s="8">
        <v>45151</v>
      </c>
      <c r="G32" s="3" t="s">
        <v>238</v>
      </c>
      <c r="H32" s="3">
        <v>11990010089</v>
      </c>
    </row>
    <row r="33" spans="1:8" ht="15.6" x14ac:dyDescent="0.3">
      <c r="A33" s="2">
        <v>32</v>
      </c>
      <c r="B33" s="2" t="s">
        <v>60</v>
      </c>
      <c r="C33" s="3" t="s">
        <v>38</v>
      </c>
      <c r="D33" s="3" t="s">
        <v>26</v>
      </c>
      <c r="E33" s="6">
        <v>4400</v>
      </c>
      <c r="F33" s="8">
        <v>44161</v>
      </c>
      <c r="G33" s="3" t="s">
        <v>172</v>
      </c>
      <c r="H33" s="3">
        <v>11990010023</v>
      </c>
    </row>
    <row r="34" spans="1:8" ht="15.6" x14ac:dyDescent="0.3">
      <c r="A34" s="2">
        <v>33</v>
      </c>
      <c r="B34" s="2" t="s">
        <v>61</v>
      </c>
      <c r="C34" s="3" t="s">
        <v>18</v>
      </c>
      <c r="D34" s="3" t="s">
        <v>7</v>
      </c>
      <c r="E34" s="6">
        <v>5000</v>
      </c>
      <c r="F34" s="8">
        <v>45181</v>
      </c>
      <c r="G34" s="3" t="s">
        <v>240</v>
      </c>
      <c r="H34" s="3">
        <v>11990010091</v>
      </c>
    </row>
    <row r="35" spans="1:8" ht="15.6" x14ac:dyDescent="0.3">
      <c r="A35" s="2">
        <v>34</v>
      </c>
      <c r="B35" s="2" t="s">
        <v>62</v>
      </c>
      <c r="C35" s="3" t="s">
        <v>41</v>
      </c>
      <c r="D35" s="3" t="s">
        <v>10</v>
      </c>
      <c r="E35" s="6">
        <v>2900</v>
      </c>
      <c r="F35" s="8">
        <v>44701</v>
      </c>
      <c r="G35" s="3" t="s">
        <v>208</v>
      </c>
      <c r="H35" s="3">
        <v>11990010059</v>
      </c>
    </row>
    <row r="36" spans="1:8" ht="15.6" x14ac:dyDescent="0.3">
      <c r="A36" s="2">
        <v>35</v>
      </c>
      <c r="B36" s="2" t="s">
        <v>63</v>
      </c>
      <c r="C36" s="3" t="s">
        <v>64</v>
      </c>
      <c r="D36" s="3" t="s">
        <v>7</v>
      </c>
      <c r="E36" s="6">
        <v>9000</v>
      </c>
      <c r="F36" s="8">
        <v>45226</v>
      </c>
      <c r="G36" s="3" t="s">
        <v>243</v>
      </c>
      <c r="H36" s="3">
        <v>11990010094</v>
      </c>
    </row>
    <row r="37" spans="1:8" ht="15.6" x14ac:dyDescent="0.3">
      <c r="A37" s="2">
        <v>36</v>
      </c>
      <c r="B37" s="2" t="s">
        <v>65</v>
      </c>
      <c r="C37" s="3" t="s">
        <v>66</v>
      </c>
      <c r="D37" s="3" t="s">
        <v>34</v>
      </c>
      <c r="E37" s="6">
        <v>3100</v>
      </c>
      <c r="F37" s="8">
        <v>43936</v>
      </c>
      <c r="G37" s="3" t="s">
        <v>157</v>
      </c>
      <c r="H37" s="3">
        <v>11990010008</v>
      </c>
    </row>
    <row r="38" spans="1:8" ht="15.6" x14ac:dyDescent="0.3">
      <c r="A38" s="2">
        <v>37</v>
      </c>
      <c r="B38" s="2" t="s">
        <v>67</v>
      </c>
      <c r="C38" s="3" t="s">
        <v>68</v>
      </c>
      <c r="D38" s="3" t="s">
        <v>26</v>
      </c>
      <c r="E38" s="6">
        <v>6000</v>
      </c>
      <c r="F38" s="8">
        <v>44191</v>
      </c>
      <c r="G38" s="3" t="s">
        <v>174</v>
      </c>
      <c r="H38" s="3">
        <v>11990010025</v>
      </c>
    </row>
    <row r="39" spans="1:8" ht="15.6" x14ac:dyDescent="0.3">
      <c r="A39" s="2">
        <v>38</v>
      </c>
      <c r="B39" s="2" t="s">
        <v>69</v>
      </c>
      <c r="C39" s="3" t="s">
        <v>70</v>
      </c>
      <c r="D39" s="3" t="s">
        <v>13</v>
      </c>
      <c r="E39" s="6">
        <v>3800</v>
      </c>
      <c r="F39" s="8">
        <v>44416</v>
      </c>
      <c r="G39" s="3" t="s">
        <v>189</v>
      </c>
      <c r="H39" s="3">
        <v>11990010040</v>
      </c>
    </row>
    <row r="40" spans="1:8" ht="15.6" x14ac:dyDescent="0.3">
      <c r="A40" s="2">
        <v>39</v>
      </c>
      <c r="B40" s="2" t="s">
        <v>71</v>
      </c>
      <c r="C40" s="3" t="s">
        <v>72</v>
      </c>
      <c r="D40" s="3" t="s">
        <v>7</v>
      </c>
      <c r="E40" s="6">
        <v>7000</v>
      </c>
      <c r="F40" s="8">
        <v>45286</v>
      </c>
      <c r="G40" s="3" t="s">
        <v>247</v>
      </c>
      <c r="H40" s="3">
        <v>11990010098</v>
      </c>
    </row>
    <row r="41" spans="1:8" ht="15.6" x14ac:dyDescent="0.3">
      <c r="A41" s="2">
        <v>40</v>
      </c>
      <c r="B41" s="2" t="s">
        <v>73</v>
      </c>
      <c r="C41" s="3" t="s">
        <v>48</v>
      </c>
      <c r="D41" s="3" t="s">
        <v>10</v>
      </c>
      <c r="E41" s="6">
        <v>3200</v>
      </c>
      <c r="F41" s="8">
        <v>44761</v>
      </c>
      <c r="G41" s="3" t="s">
        <v>212</v>
      </c>
      <c r="H41" s="3">
        <v>11990010063</v>
      </c>
    </row>
    <row r="42" spans="1:8" ht="15.6" x14ac:dyDescent="0.3">
      <c r="A42" s="2">
        <v>41</v>
      </c>
      <c r="B42" s="2" t="s">
        <v>74</v>
      </c>
      <c r="C42" s="3" t="s">
        <v>33</v>
      </c>
      <c r="D42" s="3" t="s">
        <v>34</v>
      </c>
      <c r="E42" s="6">
        <v>2400</v>
      </c>
      <c r="F42" s="8">
        <v>43966</v>
      </c>
      <c r="G42" s="3" t="s">
        <v>159</v>
      </c>
      <c r="H42" s="3">
        <v>11990010010</v>
      </c>
    </row>
    <row r="43" spans="1:8" ht="15.6" x14ac:dyDescent="0.3">
      <c r="A43" s="2">
        <v>42</v>
      </c>
      <c r="B43" s="2" t="s">
        <v>75</v>
      </c>
      <c r="C43" s="3" t="s">
        <v>76</v>
      </c>
      <c r="D43" s="3" t="s">
        <v>7</v>
      </c>
      <c r="E43" s="6">
        <v>5200</v>
      </c>
      <c r="F43" s="8">
        <v>44776</v>
      </c>
      <c r="G43" s="3" t="s">
        <v>213</v>
      </c>
      <c r="H43" s="3">
        <v>11990010064</v>
      </c>
    </row>
    <row r="44" spans="1:8" ht="15.6" x14ac:dyDescent="0.3">
      <c r="A44" s="2">
        <v>43</v>
      </c>
      <c r="B44" s="2" t="s">
        <v>77</v>
      </c>
      <c r="C44" s="3" t="s">
        <v>78</v>
      </c>
      <c r="D44" s="3" t="s">
        <v>26</v>
      </c>
      <c r="E44" s="6">
        <v>3000</v>
      </c>
      <c r="F44" s="8">
        <v>44011</v>
      </c>
      <c r="G44" s="3" t="s">
        <v>162</v>
      </c>
      <c r="H44" s="3">
        <v>11990010013</v>
      </c>
    </row>
    <row r="45" spans="1:8" ht="15.6" x14ac:dyDescent="0.3">
      <c r="A45" s="2">
        <v>44</v>
      </c>
      <c r="B45" s="2" t="s">
        <v>79</v>
      </c>
      <c r="C45" s="3" t="s">
        <v>80</v>
      </c>
      <c r="D45" s="3" t="s">
        <v>13</v>
      </c>
      <c r="E45" s="6">
        <v>4700</v>
      </c>
      <c r="F45" s="8">
        <v>44221</v>
      </c>
      <c r="G45" s="3" t="s">
        <v>176</v>
      </c>
      <c r="H45" s="3">
        <v>11990010027</v>
      </c>
    </row>
    <row r="46" spans="1:8" ht="15.6" x14ac:dyDescent="0.3">
      <c r="A46" s="2">
        <v>45</v>
      </c>
      <c r="B46" s="2" t="s">
        <v>81</v>
      </c>
      <c r="C46" s="3" t="s">
        <v>82</v>
      </c>
      <c r="D46" s="3" t="s">
        <v>10</v>
      </c>
      <c r="E46" s="6">
        <v>6400</v>
      </c>
      <c r="F46" s="8">
        <v>44521</v>
      </c>
      <c r="G46" s="3" t="s">
        <v>196</v>
      </c>
      <c r="H46" s="3">
        <v>11990010047</v>
      </c>
    </row>
    <row r="47" spans="1:8" ht="15.6" x14ac:dyDescent="0.3">
      <c r="A47" s="2">
        <v>46</v>
      </c>
      <c r="B47" s="2" t="s">
        <v>83</v>
      </c>
      <c r="C47" s="3" t="s">
        <v>46</v>
      </c>
      <c r="D47" s="3" t="s">
        <v>7</v>
      </c>
      <c r="E47" s="6">
        <v>3900</v>
      </c>
      <c r="F47" s="8">
        <v>44911</v>
      </c>
      <c r="G47" s="3" t="s">
        <v>222</v>
      </c>
      <c r="H47" s="3">
        <v>11990010073</v>
      </c>
    </row>
    <row r="48" spans="1:8" ht="15.6" x14ac:dyDescent="0.3">
      <c r="A48" s="2">
        <v>47</v>
      </c>
      <c r="B48" s="2" t="s">
        <v>84</v>
      </c>
      <c r="C48" s="3" t="s">
        <v>21</v>
      </c>
      <c r="D48" s="3" t="s">
        <v>7</v>
      </c>
      <c r="E48" s="6">
        <v>3500</v>
      </c>
      <c r="F48" s="8">
        <v>44926</v>
      </c>
      <c r="G48" s="3" t="s">
        <v>223</v>
      </c>
      <c r="H48" s="3">
        <v>11990010074</v>
      </c>
    </row>
    <row r="49" spans="1:8" ht="15.6" x14ac:dyDescent="0.3">
      <c r="A49" s="2">
        <v>48</v>
      </c>
      <c r="B49" s="2" t="s">
        <v>85</v>
      </c>
      <c r="C49" s="3" t="s">
        <v>12</v>
      </c>
      <c r="D49" s="3" t="s">
        <v>13</v>
      </c>
      <c r="E49" s="6">
        <v>5400</v>
      </c>
      <c r="F49" s="8">
        <v>44281</v>
      </c>
      <c r="G49" s="3" t="s">
        <v>180</v>
      </c>
      <c r="H49" s="3">
        <v>11990010031</v>
      </c>
    </row>
    <row r="50" spans="1:8" ht="15.6" x14ac:dyDescent="0.3">
      <c r="A50" s="2">
        <v>49</v>
      </c>
      <c r="B50" s="2" t="s">
        <v>86</v>
      </c>
      <c r="C50" s="3" t="s">
        <v>87</v>
      </c>
      <c r="D50" s="3" t="s">
        <v>7</v>
      </c>
      <c r="E50" s="6">
        <v>4800</v>
      </c>
      <c r="F50" s="8">
        <v>44971</v>
      </c>
      <c r="G50" s="3" t="s">
        <v>226</v>
      </c>
      <c r="H50" s="3">
        <v>11990010077</v>
      </c>
    </row>
    <row r="51" spans="1:8" ht="15.6" x14ac:dyDescent="0.3">
      <c r="A51" s="2">
        <v>50</v>
      </c>
      <c r="B51" s="2" t="s">
        <v>88</v>
      </c>
      <c r="C51" s="3" t="s">
        <v>89</v>
      </c>
      <c r="D51" s="3" t="s">
        <v>26</v>
      </c>
      <c r="E51" s="6">
        <v>8500</v>
      </c>
      <c r="F51" s="8">
        <v>44071</v>
      </c>
      <c r="G51" s="3" t="s">
        <v>166</v>
      </c>
      <c r="H51" s="3">
        <v>11990010017</v>
      </c>
    </row>
    <row r="52" spans="1:8" ht="15.6" x14ac:dyDescent="0.3">
      <c r="A52" s="2">
        <v>51</v>
      </c>
      <c r="B52" s="2" t="s">
        <v>90</v>
      </c>
      <c r="C52" s="3" t="s">
        <v>48</v>
      </c>
      <c r="D52" s="3" t="s">
        <v>10</v>
      </c>
      <c r="E52" s="6">
        <v>3300</v>
      </c>
      <c r="F52" s="8">
        <v>44581</v>
      </c>
      <c r="G52" s="3" t="s">
        <v>200</v>
      </c>
      <c r="H52" s="3">
        <v>11990010051</v>
      </c>
    </row>
    <row r="53" spans="1:8" ht="15.6" x14ac:dyDescent="0.3">
      <c r="A53" s="2">
        <v>52</v>
      </c>
      <c r="B53" s="2" t="s">
        <v>91</v>
      </c>
      <c r="C53" s="3" t="s">
        <v>70</v>
      </c>
      <c r="D53" s="3" t="s">
        <v>13</v>
      </c>
      <c r="E53" s="6">
        <v>3700</v>
      </c>
      <c r="F53" s="8">
        <v>44326</v>
      </c>
      <c r="G53" s="3" t="s">
        <v>183</v>
      </c>
      <c r="H53" s="3">
        <v>11990010034</v>
      </c>
    </row>
    <row r="54" spans="1:8" ht="15.6" x14ac:dyDescent="0.3">
      <c r="A54" s="2">
        <v>53</v>
      </c>
      <c r="B54" s="2" t="s">
        <v>92</v>
      </c>
      <c r="C54" s="3" t="s">
        <v>23</v>
      </c>
      <c r="D54" s="3" t="s">
        <v>34</v>
      </c>
      <c r="E54" s="6">
        <v>2600</v>
      </c>
      <c r="F54" s="8">
        <v>43876</v>
      </c>
      <c r="G54" s="3" t="s">
        <v>153</v>
      </c>
      <c r="H54" s="3">
        <v>11990010004</v>
      </c>
    </row>
    <row r="55" spans="1:8" ht="15.6" x14ac:dyDescent="0.3">
      <c r="A55" s="2">
        <v>54</v>
      </c>
      <c r="B55" s="2" t="s">
        <v>93</v>
      </c>
      <c r="C55" s="3" t="s">
        <v>18</v>
      </c>
      <c r="D55" s="3" t="s">
        <v>7</v>
      </c>
      <c r="E55" s="6">
        <v>5100</v>
      </c>
      <c r="F55" s="8">
        <v>45091</v>
      </c>
      <c r="G55" s="3" t="s">
        <v>234</v>
      </c>
      <c r="H55" s="3">
        <v>11990010085</v>
      </c>
    </row>
    <row r="56" spans="1:8" ht="15.6" x14ac:dyDescent="0.3">
      <c r="A56" s="2">
        <v>55</v>
      </c>
      <c r="B56" s="2" t="s">
        <v>94</v>
      </c>
      <c r="C56" s="3" t="s">
        <v>82</v>
      </c>
      <c r="D56" s="3" t="s">
        <v>10</v>
      </c>
      <c r="E56" s="6">
        <v>6600</v>
      </c>
      <c r="F56" s="8">
        <v>44641</v>
      </c>
      <c r="G56" s="3" t="s">
        <v>204</v>
      </c>
      <c r="H56" s="3">
        <v>11990010055</v>
      </c>
    </row>
    <row r="57" spans="1:8" ht="15.6" x14ac:dyDescent="0.3">
      <c r="A57" s="2">
        <v>56</v>
      </c>
      <c r="B57" s="2" t="s">
        <v>95</v>
      </c>
      <c r="C57" s="3" t="s">
        <v>96</v>
      </c>
      <c r="D57" s="3" t="s">
        <v>7</v>
      </c>
      <c r="E57" s="6">
        <v>6200</v>
      </c>
      <c r="F57" s="8">
        <v>45121</v>
      </c>
      <c r="G57" s="3" t="s">
        <v>236</v>
      </c>
      <c r="H57" s="3">
        <v>11990010087</v>
      </c>
    </row>
    <row r="58" spans="1:8" ht="15.6" x14ac:dyDescent="0.3">
      <c r="A58" s="2">
        <v>57</v>
      </c>
      <c r="B58" s="2" t="s">
        <v>97</v>
      </c>
      <c r="C58" s="3" t="s">
        <v>38</v>
      </c>
      <c r="D58" s="3" t="s">
        <v>26</v>
      </c>
      <c r="E58" s="6">
        <v>4300</v>
      </c>
      <c r="F58" s="8">
        <v>44146</v>
      </c>
      <c r="G58" s="3" t="s">
        <v>171</v>
      </c>
      <c r="H58" s="3">
        <v>11990010022</v>
      </c>
    </row>
    <row r="59" spans="1:8" ht="15.6" x14ac:dyDescent="0.3">
      <c r="A59" s="2">
        <v>58</v>
      </c>
      <c r="B59" s="2" t="s">
        <v>98</v>
      </c>
      <c r="C59" s="3" t="s">
        <v>41</v>
      </c>
      <c r="D59" s="3" t="s">
        <v>10</v>
      </c>
      <c r="E59" s="6">
        <v>2800</v>
      </c>
      <c r="F59" s="8">
        <v>44686</v>
      </c>
      <c r="G59" s="3" t="s">
        <v>207</v>
      </c>
      <c r="H59" s="3">
        <v>11990010058</v>
      </c>
    </row>
    <row r="60" spans="1:8" ht="15.6" x14ac:dyDescent="0.3">
      <c r="A60" s="2">
        <v>59</v>
      </c>
      <c r="B60" s="2" t="s">
        <v>99</v>
      </c>
      <c r="C60" s="3" t="s">
        <v>46</v>
      </c>
      <c r="D60" s="3" t="s">
        <v>7</v>
      </c>
      <c r="E60" s="6">
        <v>4000</v>
      </c>
      <c r="F60" s="8">
        <v>45196</v>
      </c>
      <c r="G60" s="3" t="s">
        <v>241</v>
      </c>
      <c r="H60" s="3">
        <v>11990010092</v>
      </c>
    </row>
    <row r="61" spans="1:8" ht="15.6" x14ac:dyDescent="0.3">
      <c r="A61" s="2">
        <v>60</v>
      </c>
      <c r="B61" s="2" t="s">
        <v>100</v>
      </c>
      <c r="C61" s="3" t="s">
        <v>87</v>
      </c>
      <c r="D61" s="3" t="s">
        <v>7</v>
      </c>
      <c r="E61" s="6">
        <v>4900</v>
      </c>
      <c r="F61" s="8">
        <v>45211</v>
      </c>
      <c r="G61" s="3" t="s">
        <v>242</v>
      </c>
      <c r="H61" s="3">
        <v>11990010093</v>
      </c>
    </row>
    <row r="62" spans="1:8" ht="15.6" x14ac:dyDescent="0.3">
      <c r="A62" s="2">
        <v>61</v>
      </c>
      <c r="B62" s="2" t="s">
        <v>101</v>
      </c>
      <c r="C62" s="3" t="s">
        <v>102</v>
      </c>
      <c r="D62" s="3" t="s">
        <v>13</v>
      </c>
      <c r="E62" s="6">
        <v>8800</v>
      </c>
      <c r="F62" s="8">
        <v>44401</v>
      </c>
      <c r="G62" s="3" t="s">
        <v>188</v>
      </c>
      <c r="H62" s="3">
        <v>11990010039</v>
      </c>
    </row>
    <row r="63" spans="1:8" ht="15.6" x14ac:dyDescent="0.3">
      <c r="A63" s="2">
        <v>62</v>
      </c>
      <c r="B63" s="2" t="s">
        <v>103</v>
      </c>
      <c r="C63" s="3" t="s">
        <v>66</v>
      </c>
      <c r="D63" s="3" t="s">
        <v>34</v>
      </c>
      <c r="E63" s="6">
        <v>3200</v>
      </c>
      <c r="F63" s="8">
        <v>43906</v>
      </c>
      <c r="G63" s="3" t="s">
        <v>155</v>
      </c>
      <c r="H63" s="3">
        <v>11990010006</v>
      </c>
    </row>
    <row r="64" spans="1:8" ht="15.6" x14ac:dyDescent="0.3">
      <c r="A64" s="2">
        <v>63</v>
      </c>
      <c r="B64" s="2" t="s">
        <v>104</v>
      </c>
      <c r="C64" s="3" t="s">
        <v>105</v>
      </c>
      <c r="D64" s="3" t="s">
        <v>26</v>
      </c>
      <c r="E64" s="6">
        <v>6900</v>
      </c>
      <c r="F64" s="8">
        <v>44206</v>
      </c>
      <c r="G64" s="3" t="s">
        <v>175</v>
      </c>
      <c r="H64" s="3">
        <v>11990010026</v>
      </c>
    </row>
    <row r="65" spans="1:8" ht="15.6" x14ac:dyDescent="0.3">
      <c r="A65" s="2">
        <v>64</v>
      </c>
      <c r="B65" s="2" t="s">
        <v>106</v>
      </c>
      <c r="C65" s="3" t="s">
        <v>107</v>
      </c>
      <c r="D65" s="3" t="s">
        <v>10</v>
      </c>
      <c r="E65" s="6">
        <v>5600</v>
      </c>
      <c r="F65" s="8">
        <v>44731</v>
      </c>
      <c r="G65" s="3" t="s">
        <v>210</v>
      </c>
      <c r="H65" s="3">
        <v>11990010061</v>
      </c>
    </row>
    <row r="66" spans="1:8" ht="15.6" x14ac:dyDescent="0.3">
      <c r="A66" s="2">
        <v>65</v>
      </c>
      <c r="B66" s="2" t="s">
        <v>108</v>
      </c>
      <c r="C66" s="3" t="s">
        <v>46</v>
      </c>
      <c r="D66" s="3" t="s">
        <v>7</v>
      </c>
      <c r="E66" s="6">
        <v>3700</v>
      </c>
      <c r="F66" s="8">
        <v>45271</v>
      </c>
      <c r="G66" s="3" t="s">
        <v>246</v>
      </c>
      <c r="H66" s="3">
        <v>11990010097</v>
      </c>
    </row>
    <row r="67" spans="1:8" ht="15.6" x14ac:dyDescent="0.3">
      <c r="A67" s="2">
        <v>66</v>
      </c>
      <c r="B67" s="2" t="s">
        <v>109</v>
      </c>
      <c r="C67" s="3" t="s">
        <v>54</v>
      </c>
      <c r="D67" s="3" t="s">
        <v>7</v>
      </c>
      <c r="E67" s="6">
        <v>4200</v>
      </c>
      <c r="F67" s="8">
        <v>45301</v>
      </c>
      <c r="G67" s="3" t="s">
        <v>248</v>
      </c>
      <c r="H67" s="3">
        <v>11990010099</v>
      </c>
    </row>
    <row r="68" spans="1:8" ht="15.6" x14ac:dyDescent="0.3">
      <c r="A68" s="2">
        <v>67</v>
      </c>
      <c r="B68" s="2" t="s">
        <v>110</v>
      </c>
      <c r="C68" s="3" t="s">
        <v>23</v>
      </c>
      <c r="D68" s="3" t="s">
        <v>34</v>
      </c>
      <c r="E68" s="6">
        <v>2700</v>
      </c>
      <c r="F68" s="8">
        <v>43951</v>
      </c>
      <c r="G68" s="3" t="s">
        <v>158</v>
      </c>
      <c r="H68" s="3">
        <v>11990010009</v>
      </c>
    </row>
    <row r="69" spans="1:8" ht="15.6" x14ac:dyDescent="0.3">
      <c r="A69" s="2">
        <v>68</v>
      </c>
      <c r="B69" s="2" t="s">
        <v>111</v>
      </c>
      <c r="C69" s="3" t="s">
        <v>56</v>
      </c>
      <c r="D69" s="3" t="s">
        <v>7</v>
      </c>
      <c r="E69" s="6">
        <v>4600</v>
      </c>
      <c r="F69" s="8">
        <v>44821</v>
      </c>
      <c r="G69" s="3" t="s">
        <v>216</v>
      </c>
      <c r="H69" s="3">
        <v>11990010067</v>
      </c>
    </row>
    <row r="70" spans="1:8" ht="15.6" x14ac:dyDescent="0.3">
      <c r="A70" s="2">
        <v>69</v>
      </c>
      <c r="B70" s="2" t="s">
        <v>112</v>
      </c>
      <c r="C70" s="3" t="s">
        <v>48</v>
      </c>
      <c r="D70" s="3" t="s">
        <v>10</v>
      </c>
      <c r="E70" s="6">
        <v>3400</v>
      </c>
      <c r="F70" s="8">
        <v>44461</v>
      </c>
      <c r="G70" s="3" t="s">
        <v>192</v>
      </c>
      <c r="H70" s="3">
        <v>11990010043</v>
      </c>
    </row>
    <row r="71" spans="1:8" ht="15.6" x14ac:dyDescent="0.3">
      <c r="A71" s="2">
        <v>70</v>
      </c>
      <c r="B71" s="2" t="s">
        <v>113</v>
      </c>
      <c r="C71" s="3" t="s">
        <v>114</v>
      </c>
      <c r="D71" s="3" t="s">
        <v>13</v>
      </c>
      <c r="E71" s="6">
        <v>5300</v>
      </c>
      <c r="F71" s="8">
        <v>44236</v>
      </c>
      <c r="G71" s="3" t="s">
        <v>177</v>
      </c>
      <c r="H71" s="3">
        <v>11990010028</v>
      </c>
    </row>
    <row r="72" spans="1:8" ht="15.6" x14ac:dyDescent="0.3">
      <c r="A72" s="2">
        <v>71</v>
      </c>
      <c r="B72" s="2" t="s">
        <v>115</v>
      </c>
      <c r="C72" s="3" t="s">
        <v>72</v>
      </c>
      <c r="D72" s="3" t="s">
        <v>7</v>
      </c>
      <c r="E72" s="6">
        <v>7100</v>
      </c>
      <c r="F72" s="8">
        <v>44896</v>
      </c>
      <c r="G72" s="3" t="s">
        <v>221</v>
      </c>
      <c r="H72" s="3">
        <v>11990010072</v>
      </c>
    </row>
    <row r="73" spans="1:8" ht="15.6" x14ac:dyDescent="0.3">
      <c r="A73" s="2">
        <v>72</v>
      </c>
      <c r="B73" s="2" t="s">
        <v>116</v>
      </c>
      <c r="C73" s="3" t="s">
        <v>117</v>
      </c>
      <c r="D73" s="3" t="s">
        <v>26</v>
      </c>
      <c r="E73" s="6">
        <v>3800</v>
      </c>
      <c r="F73" s="8">
        <v>44041</v>
      </c>
      <c r="G73" s="3" t="s">
        <v>164</v>
      </c>
      <c r="H73" s="3">
        <v>11990010015</v>
      </c>
    </row>
    <row r="74" spans="1:8" ht="15.6" x14ac:dyDescent="0.3">
      <c r="A74" s="2">
        <v>73</v>
      </c>
      <c r="B74" s="2" t="s">
        <v>118</v>
      </c>
      <c r="C74" s="3" t="s">
        <v>41</v>
      </c>
      <c r="D74" s="3" t="s">
        <v>10</v>
      </c>
      <c r="E74" s="6">
        <v>3000</v>
      </c>
      <c r="F74" s="8">
        <v>44536</v>
      </c>
      <c r="G74" s="3" t="s">
        <v>197</v>
      </c>
      <c r="H74" s="3">
        <v>11990010048</v>
      </c>
    </row>
    <row r="75" spans="1:8" ht="15.6" x14ac:dyDescent="0.3">
      <c r="A75" s="2">
        <v>74</v>
      </c>
      <c r="B75" s="2" t="s">
        <v>119</v>
      </c>
      <c r="C75" s="3" t="s">
        <v>18</v>
      </c>
      <c r="D75" s="3" t="s">
        <v>7</v>
      </c>
      <c r="E75" s="6">
        <v>5000</v>
      </c>
      <c r="F75" s="8">
        <v>44956</v>
      </c>
      <c r="G75" s="3" t="s">
        <v>225</v>
      </c>
      <c r="H75" s="3">
        <v>11990010076</v>
      </c>
    </row>
    <row r="76" spans="1:8" ht="15.6" x14ac:dyDescent="0.3">
      <c r="A76" s="2">
        <v>75</v>
      </c>
      <c r="B76" s="2" t="s">
        <v>120</v>
      </c>
      <c r="C76" s="3" t="s">
        <v>66</v>
      </c>
      <c r="D76" s="3" t="s">
        <v>34</v>
      </c>
      <c r="E76" s="6">
        <v>3100</v>
      </c>
      <c r="F76" s="8">
        <v>43846</v>
      </c>
      <c r="G76" s="3" t="s">
        <v>151</v>
      </c>
      <c r="H76" s="3">
        <v>11990010002</v>
      </c>
    </row>
    <row r="77" spans="1:8" ht="15.6" x14ac:dyDescent="0.3">
      <c r="A77" s="2">
        <v>76</v>
      </c>
      <c r="B77" s="2" t="s">
        <v>121</v>
      </c>
      <c r="C77" s="3" t="s">
        <v>64</v>
      </c>
      <c r="D77" s="3" t="s">
        <v>7</v>
      </c>
      <c r="E77" s="6">
        <v>9200</v>
      </c>
      <c r="F77" s="8">
        <v>45001</v>
      </c>
      <c r="G77" s="3" t="s">
        <v>228</v>
      </c>
      <c r="H77" s="3">
        <v>11990010079</v>
      </c>
    </row>
    <row r="78" spans="1:8" ht="15.6" x14ac:dyDescent="0.3">
      <c r="A78" s="2">
        <v>77</v>
      </c>
      <c r="B78" s="2" t="s">
        <v>122</v>
      </c>
      <c r="C78" s="3" t="s">
        <v>38</v>
      </c>
      <c r="D78" s="3" t="s">
        <v>26</v>
      </c>
      <c r="E78" s="6">
        <v>4500</v>
      </c>
      <c r="F78" s="8">
        <v>44086</v>
      </c>
      <c r="G78" s="3" t="s">
        <v>167</v>
      </c>
      <c r="H78" s="3">
        <v>11990010018</v>
      </c>
    </row>
    <row r="79" spans="1:8" ht="15.6" x14ac:dyDescent="0.3">
      <c r="A79" s="2">
        <v>78</v>
      </c>
      <c r="B79" s="2" t="s">
        <v>123</v>
      </c>
      <c r="C79" s="3" t="s">
        <v>107</v>
      </c>
      <c r="D79" s="3" t="s">
        <v>10</v>
      </c>
      <c r="E79" s="6">
        <v>5700</v>
      </c>
      <c r="F79" s="8">
        <v>44611</v>
      </c>
      <c r="G79" s="3" t="s">
        <v>202</v>
      </c>
      <c r="H79" s="3">
        <v>11990010053</v>
      </c>
    </row>
    <row r="80" spans="1:8" ht="15.6" x14ac:dyDescent="0.3">
      <c r="A80" s="2">
        <v>79</v>
      </c>
      <c r="B80" s="2" t="s">
        <v>124</v>
      </c>
      <c r="C80" s="3" t="s">
        <v>125</v>
      </c>
      <c r="D80" s="3" t="s">
        <v>7</v>
      </c>
      <c r="E80" s="6">
        <v>3600</v>
      </c>
      <c r="F80" s="8">
        <v>45031</v>
      </c>
      <c r="G80" s="3" t="s">
        <v>230</v>
      </c>
      <c r="H80" s="3">
        <v>11990010081</v>
      </c>
    </row>
    <row r="81" spans="1:8" ht="15.6" x14ac:dyDescent="0.3">
      <c r="A81" s="2">
        <v>80</v>
      </c>
      <c r="B81" s="2" t="s">
        <v>126</v>
      </c>
      <c r="C81" s="3" t="s">
        <v>127</v>
      </c>
      <c r="D81" s="3" t="s">
        <v>13</v>
      </c>
      <c r="E81" s="6">
        <v>6800</v>
      </c>
      <c r="F81" s="8">
        <v>44341</v>
      </c>
      <c r="G81" s="3" t="s">
        <v>184</v>
      </c>
      <c r="H81" s="3">
        <v>11990010035</v>
      </c>
    </row>
    <row r="82" spans="1:8" ht="15.6" x14ac:dyDescent="0.3">
      <c r="A82" s="2">
        <v>81</v>
      </c>
      <c r="B82" s="2" t="s">
        <v>128</v>
      </c>
      <c r="C82" s="3" t="s">
        <v>41</v>
      </c>
      <c r="D82" s="3" t="s">
        <v>10</v>
      </c>
      <c r="E82" s="6">
        <v>2900</v>
      </c>
      <c r="F82" s="8">
        <v>44656</v>
      </c>
      <c r="G82" s="3" t="s">
        <v>205</v>
      </c>
      <c r="H82" s="3">
        <v>11990010056</v>
      </c>
    </row>
    <row r="83" spans="1:8" ht="15.6" x14ac:dyDescent="0.3">
      <c r="A83" s="2">
        <v>82</v>
      </c>
      <c r="B83" s="2" t="s">
        <v>129</v>
      </c>
      <c r="C83" s="3" t="s">
        <v>18</v>
      </c>
      <c r="D83" s="3" t="s">
        <v>7</v>
      </c>
      <c r="E83" s="6">
        <v>5100</v>
      </c>
      <c r="F83" s="8">
        <v>45106</v>
      </c>
      <c r="G83" s="3" t="s">
        <v>235</v>
      </c>
      <c r="H83" s="3">
        <v>11990010086</v>
      </c>
    </row>
    <row r="84" spans="1:8" ht="15.6" x14ac:dyDescent="0.3">
      <c r="A84" s="2">
        <v>83</v>
      </c>
      <c r="B84" s="2" t="s">
        <v>130</v>
      </c>
      <c r="C84" s="3" t="s">
        <v>21</v>
      </c>
      <c r="D84" s="3" t="s">
        <v>7</v>
      </c>
      <c r="E84" s="6">
        <v>3400</v>
      </c>
      <c r="F84" s="8">
        <v>45136</v>
      </c>
      <c r="G84" s="3" t="s">
        <v>237</v>
      </c>
      <c r="H84" s="3">
        <v>11990010088</v>
      </c>
    </row>
    <row r="85" spans="1:8" ht="15.6" x14ac:dyDescent="0.3">
      <c r="A85" s="2">
        <v>84</v>
      </c>
      <c r="B85" s="2" t="s">
        <v>131</v>
      </c>
      <c r="C85" s="3" t="s">
        <v>68</v>
      </c>
      <c r="D85" s="3" t="s">
        <v>26</v>
      </c>
      <c r="E85" s="6">
        <v>6100</v>
      </c>
      <c r="F85" s="8">
        <v>44176</v>
      </c>
      <c r="G85" s="3" t="s">
        <v>173</v>
      </c>
      <c r="H85" s="3">
        <v>11990010024</v>
      </c>
    </row>
    <row r="86" spans="1:8" ht="15.6" x14ac:dyDescent="0.3">
      <c r="A86" s="2">
        <v>85</v>
      </c>
      <c r="B86" s="2" t="s">
        <v>132</v>
      </c>
      <c r="C86" s="3" t="s">
        <v>82</v>
      </c>
      <c r="D86" s="3" t="s">
        <v>10</v>
      </c>
      <c r="E86" s="6">
        <v>6700</v>
      </c>
      <c r="F86" s="8">
        <v>44716</v>
      </c>
      <c r="G86" s="3" t="s">
        <v>209</v>
      </c>
      <c r="H86" s="3">
        <v>11990010060</v>
      </c>
    </row>
    <row r="87" spans="1:8" ht="15.6" x14ac:dyDescent="0.3">
      <c r="A87" s="2">
        <v>86</v>
      </c>
      <c r="B87" s="2" t="s">
        <v>133</v>
      </c>
      <c r="C87" s="3" t="s">
        <v>70</v>
      </c>
      <c r="D87" s="3" t="s">
        <v>13</v>
      </c>
      <c r="E87" s="6">
        <v>3900</v>
      </c>
      <c r="F87" s="8">
        <v>44386</v>
      </c>
      <c r="G87" s="3" t="s">
        <v>187</v>
      </c>
      <c r="H87" s="3">
        <v>11990010038</v>
      </c>
    </row>
    <row r="88" spans="1:8" ht="15.6" x14ac:dyDescent="0.3">
      <c r="A88" s="2">
        <v>87</v>
      </c>
      <c r="B88" s="2" t="s">
        <v>134</v>
      </c>
      <c r="C88" s="3" t="s">
        <v>23</v>
      </c>
      <c r="D88" s="3" t="s">
        <v>34</v>
      </c>
      <c r="E88" s="6">
        <v>2500</v>
      </c>
      <c r="F88" s="8">
        <v>43921</v>
      </c>
      <c r="G88" s="3" t="s">
        <v>156</v>
      </c>
      <c r="H88" s="3">
        <v>11990010007</v>
      </c>
    </row>
    <row r="89" spans="1:8" ht="15.6" x14ac:dyDescent="0.3">
      <c r="A89" s="2">
        <v>88</v>
      </c>
      <c r="B89" s="2" t="s">
        <v>135</v>
      </c>
      <c r="C89" s="3" t="s">
        <v>76</v>
      </c>
      <c r="D89" s="3" t="s">
        <v>7</v>
      </c>
      <c r="E89" s="6">
        <v>5300</v>
      </c>
      <c r="F89" s="8">
        <v>45241</v>
      </c>
      <c r="G89" s="3" t="s">
        <v>244</v>
      </c>
      <c r="H89" s="3">
        <v>11990010095</v>
      </c>
    </row>
    <row r="90" spans="1:8" ht="15.6" x14ac:dyDescent="0.3">
      <c r="A90" s="2">
        <v>89</v>
      </c>
      <c r="B90" s="2" t="s">
        <v>136</v>
      </c>
      <c r="C90" s="3" t="s">
        <v>56</v>
      </c>
      <c r="D90" s="3" t="s">
        <v>7</v>
      </c>
      <c r="E90" s="6">
        <v>4700</v>
      </c>
      <c r="F90" s="8">
        <v>45256</v>
      </c>
      <c r="G90" s="3" t="s">
        <v>245</v>
      </c>
      <c r="H90" s="3">
        <v>11990010096</v>
      </c>
    </row>
    <row r="91" spans="1:8" ht="15.6" x14ac:dyDescent="0.3">
      <c r="A91" s="2">
        <v>90</v>
      </c>
      <c r="B91" s="2" t="s">
        <v>137</v>
      </c>
      <c r="C91" s="3" t="s">
        <v>102</v>
      </c>
      <c r="D91" s="3" t="s">
        <v>13</v>
      </c>
      <c r="E91" s="6">
        <v>9000</v>
      </c>
      <c r="F91" s="8">
        <v>44431</v>
      </c>
      <c r="G91" s="3" t="s">
        <v>190</v>
      </c>
      <c r="H91" s="3">
        <v>11990010041</v>
      </c>
    </row>
    <row r="92" spans="1:8" ht="15.6" x14ac:dyDescent="0.3">
      <c r="A92" s="2">
        <v>91</v>
      </c>
      <c r="B92" s="2" t="s">
        <v>138</v>
      </c>
      <c r="C92" s="3" t="s">
        <v>48</v>
      </c>
      <c r="D92" s="3" t="s">
        <v>10</v>
      </c>
      <c r="E92" s="6">
        <v>3300</v>
      </c>
      <c r="F92" s="8">
        <v>44746</v>
      </c>
      <c r="G92" s="3" t="s">
        <v>211</v>
      </c>
      <c r="H92" s="3">
        <v>11990010062</v>
      </c>
    </row>
    <row r="93" spans="1:8" ht="15.6" x14ac:dyDescent="0.3">
      <c r="A93" s="2">
        <v>92</v>
      </c>
      <c r="B93" s="2" t="s">
        <v>139</v>
      </c>
      <c r="C93" s="3" t="s">
        <v>46</v>
      </c>
      <c r="D93" s="3" t="s">
        <v>7</v>
      </c>
      <c r="E93" s="6">
        <v>4000</v>
      </c>
      <c r="F93" s="8">
        <v>45316</v>
      </c>
      <c r="G93" s="3" t="s">
        <v>249</v>
      </c>
      <c r="H93" s="3">
        <v>11990010100</v>
      </c>
    </row>
    <row r="94" spans="1:8" ht="15.6" x14ac:dyDescent="0.3">
      <c r="A94" s="2">
        <v>93</v>
      </c>
      <c r="B94" s="2" t="s">
        <v>140</v>
      </c>
      <c r="C94" s="3" t="s">
        <v>78</v>
      </c>
      <c r="D94" s="3" t="s">
        <v>26</v>
      </c>
      <c r="E94" s="6">
        <v>2800</v>
      </c>
      <c r="F94" s="8">
        <v>43996</v>
      </c>
      <c r="G94" s="3" t="s">
        <v>161</v>
      </c>
      <c r="H94" s="3">
        <v>11990010012</v>
      </c>
    </row>
    <row r="95" spans="1:8" ht="15.6" x14ac:dyDescent="0.3">
      <c r="A95" s="2">
        <v>94</v>
      </c>
      <c r="B95" s="2" t="s">
        <v>141</v>
      </c>
      <c r="C95" s="3" t="s">
        <v>18</v>
      </c>
      <c r="D95" s="3" t="s">
        <v>7</v>
      </c>
      <c r="E95" s="6">
        <v>5000</v>
      </c>
      <c r="F95" s="8">
        <v>44836</v>
      </c>
      <c r="G95" s="3" t="s">
        <v>217</v>
      </c>
      <c r="H95" s="3">
        <v>11990010068</v>
      </c>
    </row>
    <row r="96" spans="1:8" ht="15.6" x14ac:dyDescent="0.3">
      <c r="A96" s="2">
        <v>95</v>
      </c>
      <c r="B96" s="2" t="s">
        <v>142</v>
      </c>
      <c r="C96" s="3" t="s">
        <v>82</v>
      </c>
      <c r="D96" s="3" t="s">
        <v>10</v>
      </c>
      <c r="E96" s="6">
        <v>6600</v>
      </c>
      <c r="F96" s="8">
        <v>44491</v>
      </c>
      <c r="G96" s="3" t="s">
        <v>194</v>
      </c>
      <c r="H96" s="3">
        <v>11990010045</v>
      </c>
    </row>
    <row r="97" spans="1:8" ht="15.6" x14ac:dyDescent="0.3">
      <c r="A97" s="2">
        <v>96</v>
      </c>
      <c r="B97" s="2" t="s">
        <v>143</v>
      </c>
      <c r="C97" s="3" t="s">
        <v>96</v>
      </c>
      <c r="D97" s="3" t="s">
        <v>7</v>
      </c>
      <c r="E97" s="6">
        <v>6000</v>
      </c>
      <c r="F97" s="8">
        <v>44881</v>
      </c>
      <c r="G97" s="3" t="s">
        <v>220</v>
      </c>
      <c r="H97" s="3">
        <v>11990010071</v>
      </c>
    </row>
    <row r="98" spans="1:8" ht="15.6" x14ac:dyDescent="0.3">
      <c r="A98" s="2">
        <v>97</v>
      </c>
      <c r="B98" s="2" t="s">
        <v>144</v>
      </c>
      <c r="C98" s="3" t="s">
        <v>66</v>
      </c>
      <c r="D98" s="3" t="s">
        <v>34</v>
      </c>
      <c r="E98" s="6">
        <v>3100</v>
      </c>
      <c r="F98" s="8">
        <v>43831</v>
      </c>
      <c r="G98" s="3" t="s">
        <v>150</v>
      </c>
      <c r="H98" s="3">
        <v>11990010001</v>
      </c>
    </row>
    <row r="99" spans="1:8" ht="15.6" x14ac:dyDescent="0.3">
      <c r="A99" s="2">
        <v>98</v>
      </c>
      <c r="B99" s="2" t="s">
        <v>145</v>
      </c>
      <c r="C99" s="3" t="s">
        <v>89</v>
      </c>
      <c r="D99" s="3" t="s">
        <v>26</v>
      </c>
      <c r="E99" s="6">
        <v>8500</v>
      </c>
      <c r="F99" s="8">
        <v>44056</v>
      </c>
      <c r="G99" s="3" t="s">
        <v>165</v>
      </c>
      <c r="H99" s="3">
        <v>11990010016</v>
      </c>
    </row>
    <row r="100" spans="1:8" ht="15.6" x14ac:dyDescent="0.3">
      <c r="A100" s="2">
        <v>99</v>
      </c>
      <c r="B100" s="2" t="s">
        <v>146</v>
      </c>
      <c r="C100" s="3" t="s">
        <v>41</v>
      </c>
      <c r="D100" s="3" t="s">
        <v>10</v>
      </c>
      <c r="E100" s="6">
        <v>2900</v>
      </c>
      <c r="F100" s="8">
        <v>44551</v>
      </c>
      <c r="G100" s="3" t="s">
        <v>198</v>
      </c>
      <c r="H100" s="3">
        <v>11990010049</v>
      </c>
    </row>
    <row r="101" spans="1:8" ht="15.6" x14ac:dyDescent="0.3">
      <c r="A101" s="2">
        <v>100</v>
      </c>
      <c r="B101" s="2" t="s">
        <v>147</v>
      </c>
      <c r="C101" s="3" t="s">
        <v>46</v>
      </c>
      <c r="D101" s="3" t="s">
        <v>7</v>
      </c>
      <c r="E101" s="6">
        <v>3700</v>
      </c>
      <c r="F101" s="8">
        <v>44986</v>
      </c>
      <c r="G101" s="3" t="s">
        <v>227</v>
      </c>
      <c r="H101" s="3">
        <v>11990010078</v>
      </c>
    </row>
  </sheetData>
  <sheetProtection password="C71F" sheet="1" formatCells="0" formatColumns="0" formatRows="0" insertColumns="0" insertRows="0" insertHyperlinks="0" deleteColumns="0" deleteRows="0" sort="0" autoFilter="0" pivotTables="0"/>
  <sortState ref="A2:H101">
    <sortCondition ref="A2:A101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activeCell="B11" sqref="B11"/>
    </sheetView>
  </sheetViews>
  <sheetFormatPr defaultRowHeight="14.4" x14ac:dyDescent="0.3"/>
  <cols>
    <col min="1" max="1" width="44.77734375" customWidth="1"/>
    <col min="2" max="2" width="36.6640625" customWidth="1"/>
  </cols>
  <sheetData>
    <row r="1" spans="1:6" ht="18" x14ac:dyDescent="0.35">
      <c r="A1" s="14" t="s">
        <v>255</v>
      </c>
      <c r="B1" s="14"/>
    </row>
    <row r="2" spans="1:6" x14ac:dyDescent="0.3">
      <c r="A2" s="15" t="s">
        <v>19</v>
      </c>
      <c r="B2" s="16">
        <v>2</v>
      </c>
    </row>
    <row r="3" spans="1:6" x14ac:dyDescent="0.3">
      <c r="A3" s="17"/>
      <c r="B3" s="16"/>
    </row>
    <row r="4" spans="1:6" ht="18" x14ac:dyDescent="0.35">
      <c r="A4" s="17" t="s">
        <v>1</v>
      </c>
      <c r="B4" s="22" t="str">
        <f>IFERROR(VLOOKUP(B2,Funcionarios!A:E,2,FALSE),"ID NÃO ENCONTRADO")</f>
        <v>Maria souza</v>
      </c>
    </row>
    <row r="5" spans="1:6" ht="18" x14ac:dyDescent="0.35">
      <c r="A5" s="17" t="s">
        <v>2</v>
      </c>
      <c r="B5" s="22" t="str">
        <f>IFERROR(VLOOKUP(B2,Funcionarios!A:E,3,FALSE),"")</f>
        <v xml:space="preserve">Assistente </v>
      </c>
    </row>
    <row r="6" spans="1:6" ht="18" x14ac:dyDescent="0.35">
      <c r="A6" s="17" t="s">
        <v>3</v>
      </c>
      <c r="B6" s="22" t="str">
        <f>IFERROR(VLOOKUP(B2,Funcionarios!A:E,4,FALSE)," ")</f>
        <v>RH</v>
      </c>
    </row>
    <row r="7" spans="1:6" ht="18" x14ac:dyDescent="0.35">
      <c r="A7" s="17" t="s">
        <v>4</v>
      </c>
      <c r="B7" s="21">
        <f>IFERROR(VLOOKUP(B2,Funcionarios!A:E,5,FALSE)," ")</f>
        <v>2800</v>
      </c>
      <c r="F7" s="12"/>
    </row>
    <row r="8" spans="1:6" x14ac:dyDescent="0.3">
      <c r="A8" s="3" t="s">
        <v>148</v>
      </c>
      <c r="B8" s="18">
        <f>IFERROR(VLOOKUP(B2,Funcionarios!A:H,6,FALSE)," ")</f>
        <v>44626</v>
      </c>
    </row>
    <row r="9" spans="1:6" x14ac:dyDescent="0.3">
      <c r="A9" s="3" t="s">
        <v>149</v>
      </c>
      <c r="B9" s="19" t="str">
        <f>IFERROR(VLOOKUP(B2,Funcionarios!A:H,7,FALSE)," ")</f>
        <v>user054@empresa.com</v>
      </c>
    </row>
    <row r="10" spans="1:6" x14ac:dyDescent="0.3">
      <c r="A10" s="17" t="s">
        <v>250</v>
      </c>
      <c r="B10" s="19">
        <f>IFERROR(VLOOKUP(B2,Funcionarios!A:H,8,FALSE)," ")</f>
        <v>11990010054</v>
      </c>
    </row>
    <row r="11" spans="1:6" x14ac:dyDescent="0.3">
      <c r="A11" s="3" t="s">
        <v>251</v>
      </c>
      <c r="B11" s="19">
        <f>COUNTA(Funcionarios!A:A)-1</f>
        <v>100</v>
      </c>
    </row>
    <row r="12" spans="1:6" x14ac:dyDescent="0.3">
      <c r="A12" s="3" t="s">
        <v>252</v>
      </c>
      <c r="B12" s="20">
        <f>MAX(Funcionarios!E:E)</f>
        <v>9200</v>
      </c>
    </row>
    <row r="13" spans="1:6" x14ac:dyDescent="0.3">
      <c r="A13" s="3" t="s">
        <v>253</v>
      </c>
      <c r="B13" s="20">
        <f>MIN(Funcionarios!E:E)</f>
        <v>2400</v>
      </c>
    </row>
    <row r="14" spans="1:6" x14ac:dyDescent="0.3">
      <c r="A14" s="3" t="s">
        <v>254</v>
      </c>
      <c r="B14" s="20">
        <f>AVERAGE(Funcionarios!E:E)</f>
        <v>4705</v>
      </c>
    </row>
    <row r="16" spans="1:6" x14ac:dyDescent="0.3">
      <c r="B16" s="12"/>
    </row>
  </sheetData>
  <sheetProtection password="C71F" sheet="1" formatCells="0" formatColumns="0" formatRows="0" insertColumns="0" insertRows="0" insertHyperlinks="0" deleteColumns="0" deleteRows="0" sort="0" autoFilter="0" pivotTables="0"/>
  <mergeCells count="1">
    <mergeCell ref="A1:B1"/>
  </mergeCells>
  <pageMargins left="0.511811024" right="0.511811024" top="0.78740157499999996" bottom="0.78740157499999996" header="0.31496062000000002" footer="0.31496062000000002"/>
  <pageSetup paperSize="9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Funcionarios</vt:lpstr>
      <vt:lpstr>Consulta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xavier</dc:creator>
  <cp:lastModifiedBy>fernando xavier</cp:lastModifiedBy>
  <dcterms:created xsi:type="dcterms:W3CDTF">2026-06-15T15:11:02Z</dcterms:created>
  <dcterms:modified xsi:type="dcterms:W3CDTF">2026-06-16T16:28:14Z</dcterms:modified>
</cp:coreProperties>
</file>